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R_L">'RELEVANCIA-PUNTAJE'!$C$3</definedName>
    <definedName name="TL">'RELEVANCIA-PUNTAJE'!$B$2</definedName>
    <definedName name="NL">'RELEVANCIA-PUNTAJE'!$E$2</definedName>
    <definedName name="RE_ML">'RELEVANCIA-PUNTAJE'!$D$4</definedName>
    <definedName name="PR_NL">'RELEVANCIA-PUNTAJE'!$E$5</definedName>
    <definedName name="MR">'RELEVANCIA-PUNTAJE'!$A$3</definedName>
    <definedName name="PR_TL">'RELEVANCIA-PUNTAJE'!$B$5</definedName>
    <definedName name="PR_ML">'RELEVANCIA-PUNTAJE'!$D$5</definedName>
    <definedName name="MR_CL">'RELEVANCIA-PUNTAJE'!$B$3</definedName>
    <definedName name="RE">'RELEVANCIA-PUNTAJE'!$A$4</definedName>
    <definedName name="MR_TL">'RELEVANCIA-PUNTAJE'!$B$3</definedName>
    <definedName name="L">'RELEVANCIA-PUNTAJE'!$C$2</definedName>
    <definedName name="RE_NL">'RELEVANCIA-PUNTAJE'!$E$4</definedName>
    <definedName name="MR_ML">'RELEVANCIA-PUNTAJE'!$D$3</definedName>
    <definedName name="CL">'RELEVANCIA-PUNTAJE'!$B$2</definedName>
    <definedName name="PR">'RELEVANCIA-PUNTAJE'!$A$5</definedName>
    <definedName name="ML">'RELEVANCIA-PUNTAJE'!$D$2</definedName>
    <definedName name="RE_TL">'RELEVANCIA-PUNTAJE'!$B$4</definedName>
  </definedNames>
  <calcPr/>
  <extLst>
    <ext uri="GoogleSheetsCustomDataVersion2">
      <go:sheetsCustomData xmlns:go="http://customooxmlschemas.google.com/" r:id="rId10" roundtripDataChecksum="cTPwQP80PSdJOkMTF0FlZmAW1rsox+5m2tnd4tgSk8s="/>
    </ext>
  </extLst>
</workbook>
</file>

<file path=xl/sharedStrings.xml><?xml version="1.0" encoding="utf-8"?>
<sst xmlns="http://schemas.openxmlformats.org/spreadsheetml/2006/main" count="84" uniqueCount="66">
  <si>
    <t>INTEGRANTES</t>
  </si>
  <si>
    <t>GRUPAL</t>
  </si>
  <si>
    <t>Felipe Rauque Ulloa</t>
  </si>
  <si>
    <t>Bruss Angel</t>
  </si>
  <si>
    <t>Pablo Boisset</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</si>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</sst>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3" numFmtId="0" xfId="0" applyAlignment="1" applyBorder="1" applyFont="1">
      <alignment vertical="bottom"/>
    </xf>
    <xf borderId="1" fillId="2" fontId="1" numFmtId="164" xfId="0" applyAlignment="1" applyBorder="1" applyFont="1" applyNumberFormat="1">
      <alignment horizontal="center"/>
    </xf>
    <xf borderId="0" fillId="0" fontId="1" numFmtId="164" xfId="0" applyFont="1" applyNumberFormat="1"/>
    <xf borderId="3"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3" fillId="4" fontId="6" numFmtId="0" xfId="0" applyAlignment="1" applyBorder="1" applyFont="1">
      <alignment horizontal="center" vertical="center"/>
    </xf>
    <xf borderId="2" fillId="4" fontId="6" numFmtId="0" xfId="0" applyAlignment="1" applyBorder="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vertical="center"/>
    </xf>
    <xf borderId="1" fillId="0" fontId="9" numFmtId="0" xfId="0" applyAlignment="1" applyBorder="1" applyFont="1">
      <alignment horizontal="center" vertical="center"/>
    </xf>
    <xf borderId="8" fillId="0" fontId="8" numFmtId="0" xfId="0" applyAlignment="1" applyBorder="1" applyFont="1">
      <alignment horizontal="right" shrinkToFit="0" vertical="center" wrapText="1"/>
    </xf>
    <xf borderId="3" fillId="0" fontId="10" numFmtId="0" xfId="0" applyBorder="1" applyFont="1"/>
    <xf borderId="1" fillId="5" fontId="1" numFmtId="0" xfId="0" applyBorder="1" applyFill="1" applyFont="1"/>
    <xf borderId="2" fillId="0" fontId="8" numFmtId="0" xfId="0" applyAlignment="1" applyBorder="1" applyFont="1">
      <alignment horizontal="right" shrinkToFit="0" vertical="center" wrapText="1"/>
    </xf>
    <xf borderId="1" fillId="0" fontId="10" numFmtId="164" xfId="0" applyBorder="1" applyFont="1" applyNumberFormat="1"/>
    <xf borderId="0" fillId="0" fontId="11"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6" fontId="12" numFmtId="0" xfId="0" applyAlignment="1" applyBorder="1" applyFill="1" applyFont="1">
      <alignment horizontal="center" shrinkToFit="0" vertical="center" wrapText="1"/>
    </xf>
    <xf borderId="10" fillId="6" fontId="12" numFmtId="0" xfId="0" applyAlignment="1" applyBorder="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6" fontId="13" numFmtId="0" xfId="0" applyAlignment="1" applyBorder="1" applyFont="1">
      <alignment horizontal="center" shrinkToFit="0" vertical="center" wrapText="1"/>
    </xf>
    <xf borderId="14" fillId="6" fontId="13"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5" fillId="0" fontId="7" numFmtId="0" xfId="0" applyBorder="1" applyFont="1"/>
    <xf borderId="14" fillId="6" fontId="12" numFmtId="9" xfId="0" applyAlignment="1" applyBorder="1" applyFont="1" applyNumberFormat="1">
      <alignment horizontal="center" shrinkToFit="0" vertical="center" wrapText="1"/>
    </xf>
    <xf borderId="16" fillId="0" fontId="7" numFmtId="0" xfId="0" applyBorder="1" applyFont="1"/>
    <xf borderId="1" fillId="0" fontId="9" numFmtId="0" xfId="0" applyAlignment="1" applyBorder="1" applyFont="1">
      <alignment horizontal="left" shrinkToFit="0" vertical="center" wrapText="1"/>
    </xf>
    <xf borderId="17" fillId="0" fontId="14" numFmtId="0" xfId="0" applyAlignment="1" applyBorder="1" applyFont="1">
      <alignment horizontal="center" shrinkToFit="0" vertical="center" wrapText="1"/>
    </xf>
    <xf borderId="18"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7" fillId="0" fontId="6"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7"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5" t="s">
        <v>3</v>
      </c>
      <c r="C5" s="6">
        <f>EVALUACION2!$C$22</f>
        <v>7</v>
      </c>
      <c r="G5" s="7"/>
    </row>
    <row r="6">
      <c r="A6" s="4">
        <v>3.0</v>
      </c>
      <c r="B6" s="5" t="s">
        <v>4</v>
      </c>
      <c r="C6" s="6">
        <f>EVALUACION2!$C$22</f>
        <v>7</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8</v>
      </c>
      <c r="D13" s="19" t="str">
        <f>IF($C13=CL,"X","")</f>
        <v>X</v>
      </c>
      <c r="E13" s="19">
        <f t="shared" ref="E13:E14" si="1">IF(D13="X",100*0.1,"")</f>
        <v>10</v>
      </c>
      <c r="F13" s="19" t="str">
        <f>IF($C13=L,"X","")</f>
        <v/>
      </c>
      <c r="G13" s="19" t="str">
        <f t="shared" ref="G13:G14" si="2">IF(F13="X",60*0.1,"")</f>
        <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18" t="s">
        <v>8</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18"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18" t="s">
        <v>8</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8</v>
      </c>
      <c r="D17" s="19" t="str">
        <f>IF($C17=CL,"X","")</f>
        <v>X</v>
      </c>
      <c r="E17" s="19">
        <f t="shared" si="5"/>
        <v>5</v>
      </c>
      <c r="F17" s="19" t="str">
        <f>IF($C17=L,"X","")</f>
        <v/>
      </c>
      <c r="G17" s="19" t="str">
        <f t="shared" si="6"/>
        <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18"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18" t="s">
        <v>8</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18" t="s">
        <v>8</v>
      </c>
      <c r="D20" s="19" t="str">
        <f>IF($C20=CL,"X","")</f>
        <v>X</v>
      </c>
      <c r="E20" s="19">
        <f>IF(D20="X",100*0.1,"")</f>
        <v>10</v>
      </c>
      <c r="F20" s="19" t="str">
        <f>IF($C20=L,"X","")</f>
        <v/>
      </c>
      <c r="G20" s="19" t="str">
        <f>IF(F20="X",60*0.1,"")</f>
        <v/>
      </c>
      <c r="H20" s="19" t="str">
        <f>IF($C20=ML,"X","")</f>
        <v/>
      </c>
      <c r="I20" s="19" t="str">
        <f>IF(H20="X",30*0.1,"")</f>
        <v/>
      </c>
      <c r="J20" s="19" t="str">
        <f>IF($C20=NL,"X","")</f>
        <v/>
      </c>
      <c r="K20" s="19" t="str">
        <f t="shared" si="4"/>
        <v/>
      </c>
    </row>
    <row r="21" ht="15.75" customHeight="1" outlineLevel="1">
      <c r="A21" s="14"/>
      <c r="B21" s="20" t="s">
        <v>12</v>
      </c>
      <c r="C21" s="21">
        <f>E21+G21+I21+K21</f>
        <v>100</v>
      </c>
      <c r="D21" s="22"/>
      <c r="E21" s="22">
        <f>SUM(E13:E20)</f>
        <v>100</v>
      </c>
      <c r="F21" s="22"/>
      <c r="G21" s="22">
        <f>SUM(G13:G20)</f>
        <v>0</v>
      </c>
      <c r="H21" s="22"/>
      <c r="I21" s="22">
        <f>SUM(I13:I20)</f>
        <v>0</v>
      </c>
      <c r="J21" s="22"/>
      <c r="K21" s="22">
        <f>SUM(K13:K20)</f>
        <v>0</v>
      </c>
    </row>
    <row r="22" ht="15.75" customHeight="1" outlineLevel="1">
      <c r="A22" s="16"/>
      <c r="B22" s="23" t="s">
        <v>13</v>
      </c>
      <c r="C22" s="24">
        <f>VLOOKUP(C21,ESCALA_IEP!A2:B202,2,FALSE)</f>
        <v>7</v>
      </c>
    </row>
    <row r="23" ht="15.75" customHeight="1">
      <c r="D23" s="25" t="s">
        <v>14</v>
      </c>
    </row>
    <row r="24" ht="48.0" customHeight="1">
      <c r="B24" s="26"/>
    </row>
    <row r="25" ht="15.75" customHeight="1">
      <c r="B25" s="27"/>
      <c r="C25" s="28"/>
    </row>
    <row r="26" ht="30.75" customHeight="1">
      <c r="B26" s="2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0" t="s">
        <v>15</v>
      </c>
      <c r="B1" s="31" t="s">
        <v>16</v>
      </c>
      <c r="C1" s="32"/>
      <c r="D1" s="32"/>
      <c r="E1" s="33"/>
      <c r="F1" s="30" t="s">
        <v>17</v>
      </c>
    </row>
    <row r="2" ht="14.25" customHeight="1">
      <c r="A2" s="34"/>
      <c r="B2" s="35" t="s">
        <v>18</v>
      </c>
      <c r="C2" s="35" t="s">
        <v>19</v>
      </c>
      <c r="D2" s="36" t="s">
        <v>20</v>
      </c>
      <c r="E2" s="37" t="s">
        <v>11</v>
      </c>
      <c r="F2" s="34"/>
    </row>
    <row r="3" ht="14.25" customHeight="1">
      <c r="A3" s="38"/>
      <c r="B3" s="38"/>
      <c r="C3" s="38"/>
      <c r="D3" s="39">
        <v>-0.3</v>
      </c>
      <c r="E3" s="39">
        <v>0.0</v>
      </c>
      <c r="F3" s="40"/>
    </row>
    <row r="4" ht="14.25" customHeight="1">
      <c r="A4" s="41" t="s">
        <v>21</v>
      </c>
      <c r="B4" s="41" t="s">
        <v>22</v>
      </c>
      <c r="C4" s="41" t="s">
        <v>23</v>
      </c>
      <c r="D4" s="41" t="s">
        <v>24</v>
      </c>
      <c r="E4" s="41" t="s">
        <v>25</v>
      </c>
      <c r="F4" s="42">
        <v>10.0</v>
      </c>
    </row>
    <row r="5" ht="14.25" customHeight="1">
      <c r="A5" s="41" t="s">
        <v>26</v>
      </c>
      <c r="B5" s="41" t="s">
        <v>27</v>
      </c>
      <c r="C5" s="41" t="s">
        <v>28</v>
      </c>
      <c r="D5" s="41" t="s">
        <v>29</v>
      </c>
      <c r="E5" s="41" t="s">
        <v>30</v>
      </c>
      <c r="F5" s="42">
        <v>10.0</v>
      </c>
    </row>
    <row r="6" ht="14.25" customHeight="1">
      <c r="A6" s="41" t="s">
        <v>31</v>
      </c>
      <c r="B6" s="41" t="s">
        <v>32</v>
      </c>
      <c r="C6" s="41" t="s">
        <v>33</v>
      </c>
      <c r="D6" s="41" t="s">
        <v>34</v>
      </c>
      <c r="E6" s="41" t="s">
        <v>35</v>
      </c>
      <c r="F6" s="42">
        <v>25.0</v>
      </c>
    </row>
    <row r="7" ht="14.25" customHeight="1">
      <c r="A7" s="41" t="s">
        <v>36</v>
      </c>
      <c r="B7" s="41" t="s">
        <v>37</v>
      </c>
      <c r="C7" s="41" t="s">
        <v>38</v>
      </c>
      <c r="D7" s="41" t="s">
        <v>39</v>
      </c>
      <c r="E7" s="41" t="s">
        <v>40</v>
      </c>
      <c r="F7" s="42">
        <v>5.0</v>
      </c>
    </row>
    <row r="8" ht="14.25" customHeight="1">
      <c r="A8" s="41" t="s">
        <v>41</v>
      </c>
      <c r="B8" s="41" t="s">
        <v>42</v>
      </c>
      <c r="C8" s="41" t="s">
        <v>43</v>
      </c>
      <c r="D8" s="41" t="s">
        <v>44</v>
      </c>
      <c r="E8" s="41" t="s">
        <v>45</v>
      </c>
      <c r="F8" s="43">
        <v>5.0</v>
      </c>
    </row>
    <row r="9" ht="14.25" customHeight="1">
      <c r="A9" s="41" t="s">
        <v>46</v>
      </c>
      <c r="B9" s="41" t="s">
        <v>47</v>
      </c>
      <c r="C9" s="41" t="s">
        <v>48</v>
      </c>
      <c r="D9" s="41" t="s">
        <v>49</v>
      </c>
      <c r="E9" s="41" t="s">
        <v>50</v>
      </c>
      <c r="F9" s="42">
        <v>20.0</v>
      </c>
    </row>
    <row r="10" ht="14.25" customHeight="1">
      <c r="A10" s="44" t="s">
        <v>51</v>
      </c>
      <c r="B10" s="44" t="s">
        <v>52</v>
      </c>
      <c r="C10" s="44" t="s">
        <v>53</v>
      </c>
      <c r="D10" s="44" t="s">
        <v>54</v>
      </c>
      <c r="E10" s="44" t="s">
        <v>55</v>
      </c>
      <c r="F10" s="45">
        <v>15.0</v>
      </c>
    </row>
    <row r="11" ht="81.0" customHeight="1">
      <c r="A11" s="41" t="s">
        <v>56</v>
      </c>
      <c r="B11" s="41" t="s">
        <v>57</v>
      </c>
      <c r="C11" s="41" t="s">
        <v>58</v>
      </c>
      <c r="D11" s="41" t="s">
        <v>59</v>
      </c>
      <c r="E11" s="41" t="s">
        <v>60</v>
      </c>
      <c r="F11" s="4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61</v>
      </c>
      <c r="B1" s="25" t="s">
        <v>62</v>
      </c>
    </row>
    <row r="2">
      <c r="A2" s="25">
        <v>0.0</v>
      </c>
      <c r="B2" s="7">
        <v>1.0</v>
      </c>
    </row>
    <row r="3">
      <c r="A3" s="25">
        <v>1.0</v>
      </c>
      <c r="B3" s="7">
        <v>1.1</v>
      </c>
    </row>
    <row r="4">
      <c r="A4" s="25">
        <v>2.0</v>
      </c>
      <c r="B4" s="7">
        <v>1.2</v>
      </c>
    </row>
    <row r="5">
      <c r="A5" s="25">
        <v>3.0</v>
      </c>
      <c r="B5" s="7">
        <v>1.3</v>
      </c>
    </row>
    <row r="6">
      <c r="A6" s="25">
        <v>4.0</v>
      </c>
      <c r="B6" s="7">
        <v>1.4</v>
      </c>
    </row>
    <row r="7">
      <c r="A7" s="25">
        <v>5.0</v>
      </c>
      <c r="B7" s="7">
        <v>1.5</v>
      </c>
    </row>
    <row r="8">
      <c r="A8" s="25">
        <v>6.0</v>
      </c>
      <c r="B8" s="7">
        <v>1.6</v>
      </c>
    </row>
    <row r="9">
      <c r="A9" s="25">
        <v>7.0</v>
      </c>
      <c r="B9" s="7">
        <v>1.7</v>
      </c>
    </row>
    <row r="10">
      <c r="A10" s="25">
        <v>8.0</v>
      </c>
      <c r="B10" s="7">
        <v>1.8</v>
      </c>
    </row>
    <row r="11">
      <c r="A11" s="25">
        <v>9.0</v>
      </c>
      <c r="B11" s="7">
        <v>1.9</v>
      </c>
    </row>
    <row r="12">
      <c r="A12" s="25">
        <v>10.0</v>
      </c>
      <c r="B12" s="7">
        <v>2.0</v>
      </c>
    </row>
    <row r="13">
      <c r="A13" s="25">
        <v>11.0</v>
      </c>
      <c r="B13" s="7">
        <v>2.1</v>
      </c>
    </row>
    <row r="14">
      <c r="A14" s="25">
        <v>12.0</v>
      </c>
      <c r="B14" s="7">
        <v>2.2</v>
      </c>
    </row>
    <row r="15">
      <c r="A15" s="25">
        <v>13.0</v>
      </c>
      <c r="B15" s="7">
        <v>2.3</v>
      </c>
    </row>
    <row r="16">
      <c r="A16" s="25">
        <v>14.0</v>
      </c>
      <c r="B16" s="7">
        <v>2.3</v>
      </c>
    </row>
    <row r="17">
      <c r="A17" s="25">
        <v>15.0</v>
      </c>
      <c r="B17" s="7">
        <v>2.4</v>
      </c>
    </row>
    <row r="18">
      <c r="A18" s="25">
        <v>16.0</v>
      </c>
      <c r="B18" s="7">
        <v>2.5</v>
      </c>
    </row>
    <row r="19">
      <c r="A19" s="25">
        <v>17.0</v>
      </c>
      <c r="B19" s="7">
        <v>2.6</v>
      </c>
    </row>
    <row r="20">
      <c r="A20" s="25">
        <v>18.0</v>
      </c>
      <c r="B20" s="7">
        <v>2.7</v>
      </c>
    </row>
    <row r="21" ht="15.75" customHeight="1">
      <c r="A21" s="25">
        <v>19.0</v>
      </c>
      <c r="B21" s="7">
        <v>2.8</v>
      </c>
    </row>
    <row r="22" ht="15.75" customHeight="1">
      <c r="A22" s="25">
        <v>20.0</v>
      </c>
      <c r="B22" s="7">
        <v>2.9</v>
      </c>
    </row>
    <row r="23" ht="15.75" customHeight="1">
      <c r="A23" s="25">
        <v>21.0</v>
      </c>
      <c r="B23" s="7">
        <v>3.0</v>
      </c>
    </row>
    <row r="24" ht="15.75" customHeight="1">
      <c r="A24" s="25">
        <v>22.0</v>
      </c>
      <c r="B24" s="7">
        <v>3.1</v>
      </c>
    </row>
    <row r="25" ht="15.75" customHeight="1">
      <c r="A25" s="25">
        <v>23.0</v>
      </c>
      <c r="B25" s="7">
        <v>3.2</v>
      </c>
    </row>
    <row r="26" ht="15.75" customHeight="1">
      <c r="A26" s="25">
        <v>24.0</v>
      </c>
      <c r="B26" s="7">
        <v>3.3</v>
      </c>
    </row>
    <row r="27" ht="15.75" customHeight="1">
      <c r="A27" s="25">
        <v>25.0</v>
      </c>
      <c r="B27" s="7">
        <v>3.4</v>
      </c>
    </row>
    <row r="28" ht="15.75" customHeight="1">
      <c r="A28" s="25">
        <v>26.0</v>
      </c>
      <c r="B28" s="7">
        <v>3.5</v>
      </c>
    </row>
    <row r="29" ht="15.75" customHeight="1">
      <c r="A29" s="25">
        <v>27.0</v>
      </c>
      <c r="B29" s="7">
        <v>3.6</v>
      </c>
    </row>
    <row r="30" ht="15.75" customHeight="1">
      <c r="A30" s="25">
        <v>28.0</v>
      </c>
      <c r="B30" s="7">
        <v>3.7</v>
      </c>
    </row>
    <row r="31" ht="15.75" customHeight="1">
      <c r="A31" s="25">
        <v>29.0</v>
      </c>
      <c r="B31" s="7">
        <v>3.8</v>
      </c>
    </row>
    <row r="32" ht="15.75" customHeight="1">
      <c r="A32" s="25">
        <v>30.0</v>
      </c>
      <c r="B32" s="7">
        <v>3.9</v>
      </c>
    </row>
    <row r="33" ht="15.75" customHeight="1">
      <c r="A33" s="25">
        <v>31.0</v>
      </c>
      <c r="B33" s="7">
        <v>4.0</v>
      </c>
    </row>
    <row r="34" ht="15.75" customHeight="1">
      <c r="A34" s="25">
        <v>32.0</v>
      </c>
      <c r="B34" s="7">
        <v>4.1</v>
      </c>
    </row>
    <row r="35" ht="15.75" customHeight="1">
      <c r="A35" s="25">
        <v>33.0</v>
      </c>
      <c r="B35" s="7">
        <v>4.3</v>
      </c>
    </row>
    <row r="36" ht="15.75" customHeight="1">
      <c r="A36" s="25">
        <v>34.0</v>
      </c>
      <c r="B36" s="7">
        <v>4.4</v>
      </c>
    </row>
    <row r="37" ht="15.75" customHeight="1">
      <c r="A37" s="25">
        <v>35.0</v>
      </c>
      <c r="B37" s="7">
        <v>4.5</v>
      </c>
    </row>
    <row r="38" ht="15.75" customHeight="1">
      <c r="A38" s="25">
        <v>36.0</v>
      </c>
      <c r="B38" s="7">
        <v>4.7</v>
      </c>
    </row>
    <row r="39" ht="15.75" customHeight="1">
      <c r="A39" s="25">
        <v>37.0</v>
      </c>
      <c r="B39" s="7">
        <v>4.8</v>
      </c>
    </row>
    <row r="40" ht="15.75" customHeight="1">
      <c r="A40" s="25">
        <v>38.0</v>
      </c>
      <c r="B40" s="7">
        <v>5.0</v>
      </c>
    </row>
    <row r="41" ht="15.75" customHeight="1">
      <c r="A41" s="25">
        <v>39.0</v>
      </c>
      <c r="B41" s="7">
        <v>5.1</v>
      </c>
    </row>
    <row r="42" ht="15.75" customHeight="1">
      <c r="A42" s="25">
        <v>40.0</v>
      </c>
      <c r="B42" s="7">
        <v>5.3</v>
      </c>
    </row>
    <row r="43" ht="15.75" customHeight="1">
      <c r="A43" s="25">
        <v>41.0</v>
      </c>
      <c r="B43" s="7">
        <v>5.4</v>
      </c>
    </row>
    <row r="44" ht="15.75" customHeight="1">
      <c r="A44" s="25">
        <v>42.0</v>
      </c>
      <c r="B44" s="7">
        <v>5.6</v>
      </c>
    </row>
    <row r="45" ht="15.75" customHeight="1">
      <c r="A45" s="25">
        <v>43.0</v>
      </c>
      <c r="B45" s="7">
        <v>5.7</v>
      </c>
    </row>
    <row r="46" ht="15.75" customHeight="1">
      <c r="A46" s="25">
        <v>44.0</v>
      </c>
      <c r="B46" s="7">
        <v>5.8</v>
      </c>
    </row>
    <row r="47" ht="15.75" customHeight="1">
      <c r="A47" s="25">
        <v>45.0</v>
      </c>
      <c r="B47" s="7">
        <v>6.0</v>
      </c>
    </row>
    <row r="48" ht="15.75" customHeight="1">
      <c r="A48" s="25">
        <v>46.0</v>
      </c>
      <c r="B48" s="7">
        <v>6.1</v>
      </c>
    </row>
    <row r="49" ht="15.75" customHeight="1">
      <c r="A49" s="25">
        <v>47.0</v>
      </c>
      <c r="B49" s="7">
        <v>6.3</v>
      </c>
    </row>
    <row r="50" ht="15.75" customHeight="1">
      <c r="A50" s="25">
        <v>48.0</v>
      </c>
      <c r="B50" s="7">
        <v>6.4</v>
      </c>
    </row>
    <row r="51" ht="15.75" customHeight="1">
      <c r="A51" s="25">
        <v>49.0</v>
      </c>
      <c r="B51" s="7">
        <v>6.6</v>
      </c>
    </row>
    <row r="52" ht="15.75" customHeight="1">
      <c r="A52" s="25">
        <v>50.0</v>
      </c>
      <c r="B52" s="7">
        <v>6.7</v>
      </c>
    </row>
    <row r="53" ht="15.75" customHeight="1">
      <c r="A53" s="25">
        <v>51.0</v>
      </c>
      <c r="B53" s="7">
        <v>6.9</v>
      </c>
    </row>
    <row r="54" ht="15.75" customHeight="1">
      <c r="A54" s="25">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7" t="s">
        <v>63</v>
      </c>
      <c r="B1" s="48" t="s">
        <v>12</v>
      </c>
      <c r="C1" s="49"/>
      <c r="D1" s="49"/>
      <c r="E1" s="50"/>
    </row>
    <row r="2">
      <c r="A2" s="51"/>
      <c r="B2" s="52" t="s">
        <v>8</v>
      </c>
      <c r="C2" s="53" t="s">
        <v>9</v>
      </c>
      <c r="D2" s="53" t="s">
        <v>64</v>
      </c>
      <c r="E2" s="54" t="s">
        <v>11</v>
      </c>
    </row>
    <row r="3">
      <c r="A3" s="55" t="s">
        <v>65</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